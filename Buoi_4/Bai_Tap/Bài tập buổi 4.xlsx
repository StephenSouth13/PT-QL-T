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<sst xmlns="http://schemas.openxmlformats.org/spreadsheetml/2006/main" count="32" uniqueCount="28">
  <si>
    <t>Nhân tố</t>
  </si>
  <si>
    <t>6 tháng đầu năm 2024 (VND)</t>
  </si>
  <si>
    <t>6 tháng đầu năm 2025 (VND)</t>
  </si>
  <si>
    <t>Tỷ lệ Nợ</t>
  </si>
  <si>
    <t>Vốn CSH</t>
  </si>
  <si>
    <t>Rủi ro tài chính</t>
  </si>
  <si>
    <t>Doanh thu thuần</t>
  </si>
  <si>
    <t>Lợi nhuận kế toán trước thuế</t>
  </si>
  <si>
    <t>Chi phí lãi vay</t>
  </si>
  <si>
    <t>Lợi nhuận sau thuế TNDN</t>
  </si>
  <si>
    <t>Tổng cộng tài sản</t>
  </si>
  <si>
    <t>EBIT</t>
  </si>
  <si>
    <t>Công thức tài chính</t>
  </si>
  <si>
    <t>6 tháng 2024</t>
  </si>
  <si>
    <t>6 tháng 2025</t>
  </si>
  <si>
    <t>Biến động (%)</t>
  </si>
  <si>
    <t>(1) Gánh nặng Thuế</t>
  </si>
  <si>
    <t>Net Profit/Pretax Profit</t>
  </si>
  <si>
    <t>(2) Gánh nặng Lãi vay</t>
  </si>
  <si>
    <t>Pretax Profit/EBIT</t>
  </si>
  <si>
    <t>(3) Biên LN hoạt động</t>
  </si>
  <si>
    <t>EBIT/Sales</t>
  </si>
  <si>
    <t>(4) Vòng quay Tài sản</t>
  </si>
  <si>
    <t>Sales/Total Assets</t>
  </si>
  <si>
    <t>(5) Đòn bẩy tài chính</t>
  </si>
  <si>
    <t>Total Assets/Equity</t>
  </si>
  <si>
    <t>ROE Tổng kết</t>
  </si>
  <si>
    <t>(1) x (2) x (3) x (4) x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</si>
</sst>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1F1F1F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  <font>
      <sz val="14.0"/>
      <color rgb="FF1F1F1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3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3" xfId="0" applyAlignment="1" applyBorder="1" applyFont="1" applyNumberFormat="1">
      <alignment readingOrder="0"/>
    </xf>
    <xf borderId="1" fillId="0" fontId="3" numFmtId="10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3" xfId="0" applyAlignment="1" applyBorder="1" applyFont="1" applyNumberFormat="1">
      <alignment horizontal="center" readingOrder="0" shrinkToFit="0" wrapText="1"/>
    </xf>
    <xf borderId="1" fillId="0" fontId="3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7.5"/>
    <col customWidth="1" min="2" max="2" width="38.75"/>
    <col customWidth="1" min="3" max="3" width="32.0"/>
    <col customWidth="1" min="4" max="4" width="19.88"/>
    <col customWidth="1" min="5" max="5" width="17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>
        <v>1.6938921102612E13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>
        <v>3.0523272943369E13</v>
      </c>
      <c r="C3" s="7">
        <v>3.0523272943369E13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8">
        <f>B2/B3</f>
        <v>0.5549510085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0</v>
      </c>
      <c r="B5" s="2" t="s">
        <v>1</v>
      </c>
      <c r="C5" s="2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6</v>
      </c>
      <c r="B6" s="10">
        <v>2.5066959454697E13</v>
      </c>
      <c r="C6" s="11">
        <v>2.4612611086652E13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7</v>
      </c>
      <c r="B7" s="11">
        <v>5.732260106433E12</v>
      </c>
      <c r="C7" s="11">
        <v>5.046322593322E12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8</v>
      </c>
      <c r="B8" s="11">
        <v>1.1823641442E11</v>
      </c>
      <c r="C8" s="11">
        <v>1.39462950687E11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9</v>
      </c>
      <c r="B9" s="11">
        <v>4.720298735011E12</v>
      </c>
      <c r="C9" s="11">
        <v>4.130765391451E12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 t="s">
        <v>10</v>
      </c>
      <c r="B10" s="11">
        <v>4.7448528386601E13</v>
      </c>
      <c r="C10" s="11">
        <v>4.7462194045981E13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11</v>
      </c>
      <c r="B11" s="11">
        <f t="shared" ref="B11:C11" si="1">B7+B8</f>
        <v>5850496520853</v>
      </c>
      <c r="C11" s="11">
        <f t="shared" si="1"/>
        <v>5185785544009</v>
      </c>
      <c r="D11" s="13"/>
      <c r="E11" s="1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0</v>
      </c>
      <c r="B12" s="1" t="s">
        <v>12</v>
      </c>
      <c r="C12" s="1" t="s">
        <v>13</v>
      </c>
      <c r="D12" s="1" t="s">
        <v>14</v>
      </c>
      <c r="E12" s="1" t="s">
        <v>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16</v>
      </c>
      <c r="B13" s="15" t="s">
        <v>17</v>
      </c>
      <c r="C13" s="16">
        <f t="shared" ref="C13:D13" si="2">B9/B7</f>
        <v>0.8234620634</v>
      </c>
      <c r="D13" s="16">
        <f t="shared" si="2"/>
        <v>0.8185694266</v>
      </c>
      <c r="E13" s="16">
        <f t="shared" ref="E13:E18" si="4"> (D13/C13) - 1</f>
        <v>-0.005941544883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18</v>
      </c>
      <c r="B14" s="15" t="s">
        <v>19</v>
      </c>
      <c r="C14" s="16">
        <f t="shared" ref="C14:D14" si="3">B7/B11</f>
        <v>0.9797903624</v>
      </c>
      <c r="D14" s="16">
        <f t="shared" si="3"/>
        <v>0.9731066876</v>
      </c>
      <c r="E14" s="16">
        <f t="shared" si="4"/>
        <v>-0.006821535572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 t="s">
        <v>20</v>
      </c>
      <c r="B15" s="15" t="s">
        <v>21</v>
      </c>
      <c r="C15" s="16">
        <f t="shared" ref="C15:D15" si="5">B11/B6</f>
        <v>0.2333947414</v>
      </c>
      <c r="D15" s="16">
        <f t="shared" si="5"/>
        <v>0.2106962778</v>
      </c>
      <c r="E15" s="16">
        <f t="shared" si="4"/>
        <v>-0.09725353478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22</v>
      </c>
      <c r="B16" s="15" t="s">
        <v>23</v>
      </c>
      <c r="C16" s="16">
        <f t="shared" ref="C16:D16" si="6">B6/B10</f>
        <v>0.5282979327</v>
      </c>
      <c r="D16" s="16">
        <f t="shared" si="6"/>
        <v>0.5185729733</v>
      </c>
      <c r="E16" s="16">
        <f t="shared" si="4"/>
        <v>-0.01840809654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24</v>
      </c>
      <c r="B17" s="15" t="s">
        <v>25</v>
      </c>
      <c r="C17" s="16">
        <f>B10/B3</f>
        <v>1.554503296</v>
      </c>
      <c r="D17" s="16">
        <f>C10/B3</f>
        <v>1.554951008</v>
      </c>
      <c r="E17" s="16">
        <f t="shared" si="4"/>
        <v>0.0002880101838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 t="s">
        <v>26</v>
      </c>
      <c r="B18" s="15" t="s">
        <v>27</v>
      </c>
      <c r="C18" s="16">
        <f t="shared" ref="C18:D18" si="7">C13*C14*C15*C16*C17</f>
        <v>0.1546458908</v>
      </c>
      <c r="D18" s="16">
        <f t="shared" si="7"/>
        <v>0.1353316664</v>
      </c>
      <c r="E18" s="16">
        <f t="shared" si="4"/>
        <v>-0.1248932275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